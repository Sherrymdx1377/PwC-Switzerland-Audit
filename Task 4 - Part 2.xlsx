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Users\sherr\Downloads\"/>
    </mc:Choice>
  </mc:AlternateContent>
  <xr:revisionPtr revIDLastSave="0" documentId="8_{DFBB8E25-F7D6-41A6-81AA-E63A965D12E6}" xr6:coauthVersionLast="47" xr6:coauthVersionMax="47" xr10:uidLastSave="{00000000-0000-0000-0000-000000000000}"/>
  <bookViews>
    <workbookView xWindow="-108" yWindow="-108" windowWidth="23256" windowHeight="12456" xr2:uid="{00000000-000D-0000-FFFF-FFFF00000000}"/>
  </bookViews>
  <sheets>
    <sheet name="Required documentation" sheetId="1" r:id="rId1"/>
  </sheets>
  <definedNames>
    <definedName name="_xlnm.Print_Titles" localSheetId="0">'Required documentation'!$13:$15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7" i="1" l="1"/>
  <c r="G37" i="1"/>
  <c r="F37" i="1"/>
  <c r="E37" i="1"/>
  <c r="E7" i="1" s="1"/>
  <c r="H9" i="1" l="1"/>
  <c r="G7" i="1"/>
  <c r="F7" i="1"/>
  <c r="G9" i="1"/>
  <c r="E9" i="1"/>
  <c r="H7" i="1" l="1"/>
  <c r="F9" i="1"/>
</calcChain>
</file>

<file path=xl/sharedStrings.xml><?xml version="1.0" encoding="utf-8"?>
<sst xmlns="http://schemas.openxmlformats.org/spreadsheetml/2006/main" count="28" uniqueCount="22">
  <si>
    <t>SUM – Summary of uncorrected misstatements</t>
  </si>
  <si>
    <t>Net</t>
  </si>
  <si>
    <t>ASSETS</t>
  </si>
  <si>
    <t>EQUITY AND LIABILITIES</t>
  </si>
  <si>
    <t>profit</t>
  </si>
  <si>
    <t>Debt</t>
  </si>
  <si>
    <t>Equity</t>
  </si>
  <si>
    <t>Financial statements as at:</t>
  </si>
  <si>
    <t>Total reference amounts</t>
  </si>
  <si>
    <t>SUM as a % of reference amounts</t>
  </si>
  <si>
    <t>Issue</t>
  </si>
  <si>
    <t>General ledger</t>
  </si>
  <si>
    <t xml:space="preserve"> Evaluation and comments</t>
  </si>
  <si>
    <t>Debit</t>
  </si>
  <si>
    <t>Credit</t>
  </si>
  <si>
    <t>1 Inventories</t>
  </si>
  <si>
    <t>1.1) Reconciliation of general ledger and subledgers</t>
  </si>
  <si>
    <t>Stock inventory</t>
  </si>
  <si>
    <t>Goods expenses</t>
  </si>
  <si>
    <t>‘Kitchen’ inventories were forgotten. 
The following entries are made when booking incoming goods:
Stock inventory/stock expense
At the same time, the following entries are made for the invoice received: 
Stock expense/creditor
The first entries were not made because of the lack of an interface. Stock expense therefore had to be corrected in favour of stock inventory. This boosted the company’s equity capital.
Important: If a misstatement has an influence on the profit, tax considerations (potentially recalculating the tax provision) must be taken into account.</t>
  </si>
  <si>
    <t>Total uncorrected misstatements (Total SUM)</t>
  </si>
  <si>
    <r>
      <t xml:space="preserve">Total uncorrected misstatements  </t>
    </r>
    <r>
      <rPr>
        <sz val="8"/>
        <color rgb="FF000000"/>
        <rFont val="Arial"/>
        <family val="2"/>
      </rPr>
      <t xml:space="preserve"> (Total SUM)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</si>
</sst>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_ * #,##0_ ;_ * \-#,##0_ ;_ * &quot;-&quot;??_ ;_ @_ "/>
    <numFmt numFmtId="166" formatCode="\+\ #,##0;\-\ #,##0"/>
    <numFmt numFmtId="167" formatCode="\+\ 0.0%;\ \-\ 0.0%"/>
  </numFmts>
  <fonts count="14" x14ac:knownFonts="1">
    <font>
      <sz val="10"/>
      <name val="Arial"/>
    </font>
    <font>
      <sz val="10"/>
      <name val="Arial"/>
      <family val="2"/>
    </font>
    <font>
      <sz val="10"/>
      <name val="Georgia"/>
      <family val="1"/>
    </font>
    <font>
      <b/>
      <sz val="14"/>
      <name val="Georgia"/>
      <family val="1"/>
    </font>
    <font>
      <sz val="8"/>
      <name val="Georgia"/>
      <family val="1"/>
    </font>
    <font>
      <sz val="7"/>
      <name val="Georgia"/>
      <family val="1"/>
    </font>
    <font>
      <sz val="8"/>
      <name val="Arial"/>
      <family val="2"/>
    </font>
    <font>
      <b/>
      <sz val="8"/>
      <name val="Arial"/>
      <family val="2"/>
    </font>
    <font>
      <b/>
      <sz val="12"/>
      <name val="Arial"/>
      <family val="2"/>
    </font>
    <font>
      <b/>
      <sz val="10"/>
      <name val="Arial"/>
      <family val="2"/>
    </font>
    <font>
      <sz val="8"/>
      <color rgb="FF000000"/>
      <name val="Arial"/>
      <family val="2"/>
    </font>
    <font>
      <b/>
      <sz val="11"/>
      <name val="Arial"/>
      <family val="2"/>
    </font>
    <font>
      <sz val="9"/>
      <name val="Arial"/>
      <family val="2"/>
    </font>
    <font>
      <b/>
      <u/>
      <sz val="10"/>
      <name val="Arial"/>
      <family val="2"/>
    </font>
  </fonts>
  <fills count="4">
    <fill>
      <patternFill patternType="none"/>
    </fill>
    <fill>
      <patternFill patternType="gray125"/>
    </fill>
    <fill>
      <patternFill patternType="solid">
        <fgColor indexed="43"/>
        <bgColor indexed="64"/>
      </patternFill>
    </fill>
    <fill>
      <patternFill patternType="solid">
        <fgColor indexed="8"/>
        <bgColor indexed="64"/>
      </patternFill>
    </fill>
  </fills>
  <borders count="53">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87">
    <xf numFmtId="0" fontId="0" fillId="0" borderId="0" xfId="0"/>
    <xf numFmtId="0" fontId="2" fillId="0" borderId="0" xfId="0" applyFont="1"/>
    <xf numFmtId="0" fontId="3" fillId="0" borderId="1" xfId="0" applyFont="1" applyBorder="1"/>
    <xf numFmtId="0" fontId="2" fillId="0" borderId="1" xfId="0" applyFont="1" applyBorder="1"/>
    <xf numFmtId="0" fontId="4" fillId="0" borderId="1" xfId="0" applyFont="1" applyBorder="1" applyAlignment="1">
      <alignment horizontal="right"/>
    </xf>
    <xf numFmtId="0" fontId="3" fillId="0" borderId="0" xfId="0" applyFont="1"/>
    <xf numFmtId="0" fontId="5" fillId="0" borderId="0" xfId="0" applyFont="1"/>
    <xf numFmtId="0" fontId="1" fillId="0" borderId="0" xfId="0" applyFont="1"/>
    <xf numFmtId="0" fontId="6" fillId="0" borderId="0" xfId="0" applyFont="1"/>
    <xf numFmtId="0" fontId="7" fillId="0" borderId="2" xfId="0" applyFont="1" applyBorder="1" applyAlignment="1">
      <alignment horizontal="center"/>
    </xf>
    <xf numFmtId="0" fontId="7" fillId="0" borderId="3" xfId="0" applyFont="1" applyBorder="1" applyAlignment="1">
      <alignment horizontal="center"/>
    </xf>
    <xf numFmtId="0" fontId="6" fillId="0" borderId="0" xfId="0" applyFont="1" applyAlignment="1">
      <alignment horizontal="left"/>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8" fillId="2" borderId="8" xfId="0" applyFont="1" applyFill="1" applyBorder="1" applyProtection="1">
      <protection locked="0"/>
    </xf>
    <xf numFmtId="0" fontId="6" fillId="0" borderId="0" xfId="0" applyFont="1" applyAlignment="1">
      <alignment horizontal="center"/>
    </xf>
    <xf numFmtId="0" fontId="1" fillId="0" borderId="9" xfId="0" applyFont="1" applyBorder="1"/>
    <xf numFmtId="0" fontId="9" fillId="0" borderId="10" xfId="0" applyFont="1" applyBorder="1" applyAlignment="1">
      <alignment vertical="center"/>
    </xf>
    <xf numFmtId="166" fontId="11" fillId="0" borderId="11" xfId="1" applyNumberFormat="1" applyFont="1" applyFill="1" applyBorder="1" applyAlignment="1" applyProtection="1">
      <alignment vertical="center"/>
    </xf>
    <xf numFmtId="166" fontId="11" fillId="0" borderId="12" xfId="1" applyNumberFormat="1" applyFont="1" applyFill="1" applyBorder="1" applyAlignment="1" applyProtection="1">
      <alignment vertical="center"/>
    </xf>
    <xf numFmtId="166" fontId="11" fillId="0" borderId="13" xfId="1" applyNumberFormat="1" applyFont="1" applyFill="1" applyBorder="1" applyAlignment="1" applyProtection="1">
      <alignment vertical="center"/>
    </xf>
    <xf numFmtId="166" fontId="11" fillId="0" borderId="14" xfId="1" applyNumberFormat="1" applyFont="1" applyFill="1" applyBorder="1" applyAlignment="1" applyProtection="1">
      <alignment vertical="center"/>
    </xf>
    <xf numFmtId="0" fontId="1" fillId="0" borderId="15" xfId="0" applyFont="1" applyBorder="1" applyAlignment="1">
      <alignment vertical="center"/>
    </xf>
    <xf numFmtId="0" fontId="1" fillId="0" borderId="10" xfId="0" applyFont="1" applyBorder="1"/>
    <xf numFmtId="165" fontId="12" fillId="2" borderId="16" xfId="1" applyNumberFormat="1" applyFont="1" applyFill="1" applyBorder="1" applyProtection="1">
      <protection locked="0"/>
    </xf>
    <xf numFmtId="165" fontId="12" fillId="2" borderId="6" xfId="1" applyNumberFormat="1" applyFont="1" applyFill="1" applyBorder="1" applyProtection="1">
      <protection locked="0"/>
    </xf>
    <xf numFmtId="165" fontId="12" fillId="2" borderId="17" xfId="1" applyNumberFormat="1" applyFont="1" applyFill="1" applyBorder="1" applyProtection="1">
      <protection locked="0"/>
    </xf>
    <xf numFmtId="165" fontId="12" fillId="0" borderId="18" xfId="1" applyNumberFormat="1" applyFont="1" applyFill="1" applyBorder="1" applyProtection="1"/>
    <xf numFmtId="14" fontId="9" fillId="2" borderId="8" xfId="0" applyNumberFormat="1" applyFont="1" applyFill="1" applyBorder="1" applyAlignment="1" applyProtection="1">
      <alignment horizontal="left"/>
      <protection locked="0"/>
    </xf>
    <xf numFmtId="0" fontId="9" fillId="0" borderId="15" xfId="0" applyFont="1" applyBorder="1" applyAlignment="1">
      <alignment vertical="center"/>
    </xf>
    <xf numFmtId="167" fontId="11" fillId="0" borderId="19" xfId="2" applyNumberFormat="1" applyFont="1" applyFill="1" applyBorder="1" applyAlignment="1" applyProtection="1">
      <alignment vertical="center"/>
    </xf>
    <xf numFmtId="167" fontId="11" fillId="0" borderId="20" xfId="2" applyNumberFormat="1" applyFont="1" applyFill="1" applyBorder="1" applyAlignment="1" applyProtection="1">
      <alignment vertical="center"/>
    </xf>
    <xf numFmtId="167" fontId="11" fillId="0" borderId="21" xfId="2" applyNumberFormat="1" applyFont="1" applyFill="1" applyBorder="1" applyAlignment="1" applyProtection="1">
      <alignment vertical="center"/>
    </xf>
    <xf numFmtId="167" fontId="11" fillId="0" borderId="22" xfId="2" applyNumberFormat="1" applyFont="1" applyFill="1" applyBorder="1" applyAlignment="1" applyProtection="1">
      <alignment vertical="center"/>
    </xf>
    <xf numFmtId="0" fontId="9" fillId="0" borderId="0" xfId="0" applyFont="1" applyAlignment="1">
      <alignment vertical="center"/>
    </xf>
    <xf numFmtId="0" fontId="9" fillId="0" borderId="23" xfId="0" applyFont="1" applyBorder="1" applyAlignment="1">
      <alignment vertical="center"/>
    </xf>
    <xf numFmtId="9" fontId="11" fillId="0" borderId="0" xfId="2" applyFont="1" applyFill="1" applyBorder="1" applyAlignment="1" applyProtection="1">
      <alignment vertical="center"/>
    </xf>
    <xf numFmtId="0" fontId="9" fillId="3" borderId="0" xfId="0" applyFont="1" applyFill="1" applyAlignment="1">
      <alignment vertical="center"/>
    </xf>
    <xf numFmtId="9" fontId="11" fillId="3" borderId="0" xfId="2" applyFont="1" applyFill="1" applyBorder="1" applyAlignment="1" applyProtection="1">
      <alignment vertical="center"/>
    </xf>
    <xf numFmtId="0" fontId="1" fillId="3" borderId="0" xfId="0" applyFont="1" applyFill="1"/>
    <xf numFmtId="0" fontId="1" fillId="0" borderId="24" xfId="0" applyFont="1" applyBorder="1"/>
    <xf numFmtId="0" fontId="6" fillId="0" borderId="25" xfId="0" applyFont="1" applyBorder="1"/>
    <xf numFmtId="0" fontId="7" fillId="0" borderId="26" xfId="0" applyFont="1" applyBorder="1" applyAlignment="1">
      <alignment horizontal="center"/>
    </xf>
    <xf numFmtId="0" fontId="7" fillId="0" borderId="27" xfId="0" applyFont="1" applyBorder="1" applyAlignment="1">
      <alignment horizontal="center"/>
    </xf>
    <xf numFmtId="0" fontId="6" fillId="0" borderId="28" xfId="0" applyFont="1" applyBorder="1" applyAlignment="1">
      <alignment horizontal="left"/>
    </xf>
    <xf numFmtId="0" fontId="6" fillId="0" borderId="29" xfId="0" applyFont="1" applyBorder="1"/>
    <xf numFmtId="0" fontId="7" fillId="0" borderId="30" xfId="0" applyFont="1" applyBorder="1" applyAlignment="1">
      <alignment horizontal="center"/>
    </xf>
    <xf numFmtId="0" fontId="7" fillId="0" borderId="29" xfId="0" applyFont="1" applyBorder="1" applyAlignment="1">
      <alignment horizontal="center"/>
    </xf>
    <xf numFmtId="0" fontId="7" fillId="0" borderId="31" xfId="0" applyFont="1" applyBorder="1" applyAlignment="1">
      <alignment horizontal="center"/>
    </xf>
    <xf numFmtId="0" fontId="7" fillId="0" borderId="32" xfId="0" applyFont="1" applyBorder="1" applyAlignment="1">
      <alignment horizontal="center"/>
    </xf>
    <xf numFmtId="0" fontId="6" fillId="0" borderId="33" xfId="0" applyFont="1" applyBorder="1" applyAlignment="1">
      <alignment horizontal="left"/>
    </xf>
    <xf numFmtId="0" fontId="7" fillId="2" borderId="34" xfId="0" applyFont="1" applyFill="1" applyBorder="1" applyAlignment="1" applyProtection="1">
      <alignment vertical="top" wrapText="1"/>
      <protection locked="0"/>
    </xf>
    <xf numFmtId="3" fontId="6" fillId="2" borderId="35" xfId="0" applyNumberFormat="1" applyFont="1" applyFill="1" applyBorder="1" applyAlignment="1" applyProtection="1">
      <alignment vertical="top" wrapText="1"/>
      <protection locked="0"/>
    </xf>
    <xf numFmtId="3" fontId="6" fillId="2" borderId="36" xfId="0" applyNumberFormat="1" applyFont="1" applyFill="1" applyBorder="1" applyAlignment="1" applyProtection="1">
      <alignment vertical="top" wrapText="1"/>
      <protection locked="0"/>
    </xf>
    <xf numFmtId="3" fontId="6" fillId="2" borderId="37" xfId="0" applyNumberFormat="1" applyFont="1" applyFill="1" applyBorder="1" applyAlignment="1" applyProtection="1">
      <alignment vertical="top" wrapText="1"/>
      <protection locked="0"/>
    </xf>
    <xf numFmtId="3" fontId="6" fillId="2" borderId="34" xfId="0" applyNumberFormat="1" applyFont="1" applyFill="1" applyBorder="1" applyAlignment="1" applyProtection="1">
      <alignment vertical="top" wrapText="1"/>
      <protection locked="0"/>
    </xf>
    <xf numFmtId="3" fontId="6" fillId="2" borderId="35" xfId="0" quotePrefix="1" applyNumberFormat="1" applyFont="1" applyFill="1" applyBorder="1" applyAlignment="1" applyProtection="1">
      <alignment vertical="top" wrapText="1"/>
      <protection locked="0"/>
    </xf>
    <xf numFmtId="3" fontId="6" fillId="2" borderId="38" xfId="0" applyNumberFormat="1" applyFont="1" applyFill="1" applyBorder="1" applyAlignment="1" applyProtection="1">
      <alignment vertical="top" wrapText="1"/>
      <protection locked="0"/>
    </xf>
    <xf numFmtId="0" fontId="6" fillId="2" borderId="37" xfId="0" applyFont="1" applyFill="1" applyBorder="1" applyAlignment="1" applyProtection="1">
      <alignment vertical="top" wrapText="1"/>
      <protection locked="0"/>
    </xf>
    <xf numFmtId="0" fontId="13" fillId="2" borderId="39" xfId="0" applyFont="1" applyFill="1" applyBorder="1" applyAlignment="1" applyProtection="1">
      <alignment vertical="top" wrapText="1"/>
      <protection locked="0"/>
    </xf>
    <xf numFmtId="3" fontId="6" fillId="2" borderId="40" xfId="0" applyNumberFormat="1" applyFont="1" applyFill="1" applyBorder="1" applyAlignment="1" applyProtection="1">
      <alignment vertical="top" wrapText="1"/>
      <protection locked="0"/>
    </xf>
    <xf numFmtId="3" fontId="6" fillId="2" borderId="41" xfId="0" applyNumberFormat="1" applyFont="1" applyFill="1" applyBorder="1" applyAlignment="1" applyProtection="1">
      <alignment vertical="top" wrapText="1"/>
      <protection locked="0"/>
    </xf>
    <xf numFmtId="3" fontId="6" fillId="2" borderId="42" xfId="0" applyNumberFormat="1" applyFont="1" applyFill="1" applyBorder="1" applyAlignment="1" applyProtection="1">
      <alignment vertical="top" wrapText="1"/>
      <protection locked="0"/>
    </xf>
    <xf numFmtId="3" fontId="6" fillId="2" borderId="39" xfId="0" applyNumberFormat="1" applyFont="1" applyFill="1" applyBorder="1" applyAlignment="1" applyProtection="1">
      <alignment vertical="top" wrapText="1"/>
      <protection locked="0"/>
    </xf>
    <xf numFmtId="3" fontId="6" fillId="2" borderId="43" xfId="0" applyNumberFormat="1" applyFont="1" applyFill="1" applyBorder="1" applyAlignment="1" applyProtection="1">
      <alignment vertical="top" wrapText="1"/>
      <protection locked="0"/>
    </xf>
    <xf numFmtId="0" fontId="6" fillId="2" borderId="42" xfId="0" applyFont="1" applyFill="1" applyBorder="1" applyAlignment="1" applyProtection="1">
      <alignment vertical="top" wrapText="1"/>
      <protection locked="0"/>
    </xf>
    <xf numFmtId="0" fontId="7" fillId="2" borderId="39" xfId="0" applyFont="1" applyFill="1" applyBorder="1" applyAlignment="1" applyProtection="1">
      <alignment vertical="top" wrapText="1"/>
      <protection locked="0"/>
    </xf>
    <xf numFmtId="0" fontId="6" fillId="2" borderId="39" xfId="0" applyFont="1" applyFill="1" applyBorder="1" applyAlignment="1" applyProtection="1">
      <alignment vertical="top" wrapText="1"/>
      <protection locked="0"/>
    </xf>
    <xf numFmtId="0" fontId="6" fillId="2" borderId="44" xfId="0" applyFont="1" applyFill="1" applyBorder="1" applyAlignment="1" applyProtection="1">
      <alignment vertical="top" wrapText="1"/>
      <protection locked="0"/>
    </xf>
    <xf numFmtId="3" fontId="6" fillId="2" borderId="45" xfId="0" applyNumberFormat="1" applyFont="1" applyFill="1" applyBorder="1" applyAlignment="1" applyProtection="1">
      <alignment vertical="top" wrapText="1"/>
      <protection locked="0"/>
    </xf>
    <xf numFmtId="3" fontId="6" fillId="2" borderId="46" xfId="0" applyNumberFormat="1" applyFont="1" applyFill="1" applyBorder="1" applyAlignment="1" applyProtection="1">
      <alignment vertical="top" wrapText="1"/>
      <protection locked="0"/>
    </xf>
    <xf numFmtId="3" fontId="6" fillId="2" borderId="47" xfId="0" applyNumberFormat="1" applyFont="1" applyFill="1" applyBorder="1" applyAlignment="1" applyProtection="1">
      <alignment vertical="top" wrapText="1"/>
      <protection locked="0"/>
    </xf>
    <xf numFmtId="3" fontId="6" fillId="2" borderId="44" xfId="0" applyNumberFormat="1" applyFont="1" applyFill="1" applyBorder="1" applyAlignment="1" applyProtection="1">
      <alignment vertical="top" wrapText="1"/>
      <protection locked="0"/>
    </xf>
    <xf numFmtId="3" fontId="6" fillId="2" borderId="48" xfId="0" applyNumberFormat="1" applyFont="1" applyFill="1" applyBorder="1" applyAlignment="1" applyProtection="1">
      <alignment vertical="top" wrapText="1"/>
      <protection locked="0"/>
    </xf>
    <xf numFmtId="0" fontId="6" fillId="2" borderId="47" xfId="0" applyFont="1" applyFill="1" applyBorder="1" applyAlignment="1" applyProtection="1">
      <alignment vertical="top" wrapText="1"/>
      <protection locked="0"/>
    </xf>
    <xf numFmtId="166" fontId="11" fillId="0" borderId="49" xfId="1" applyNumberFormat="1" applyFont="1" applyFill="1" applyBorder="1" applyAlignment="1" applyProtection="1">
      <alignment vertical="center"/>
    </xf>
    <xf numFmtId="166" fontId="11" fillId="0" borderId="31" xfId="1" applyNumberFormat="1" applyFont="1" applyFill="1" applyBorder="1" applyAlignment="1" applyProtection="1">
      <alignment vertical="center"/>
    </xf>
    <xf numFmtId="166" fontId="11" fillId="0" borderId="50" xfId="1" applyNumberFormat="1" applyFont="1" applyFill="1" applyBorder="1" applyAlignment="1" applyProtection="1">
      <alignment vertical="center"/>
    </xf>
    <xf numFmtId="166" fontId="11" fillId="0" borderId="8" xfId="1" applyNumberFormat="1" applyFont="1" applyFill="1" applyBorder="1" applyAlignment="1" applyProtection="1">
      <alignment vertical="center"/>
    </xf>
    <xf numFmtId="0" fontId="7" fillId="0" borderId="51" xfId="0" applyFont="1" applyBorder="1" applyAlignment="1">
      <alignment horizontal="center"/>
    </xf>
    <xf numFmtId="0" fontId="7" fillId="0" borderId="14" xfId="0" applyFont="1" applyBorder="1" applyAlignment="1">
      <alignment horizontal="center"/>
    </xf>
    <xf numFmtId="0" fontId="7" fillId="0" borderId="15" xfId="0" applyFont="1" applyBorder="1" applyAlignment="1">
      <alignment horizontal="center"/>
    </xf>
    <xf numFmtId="0" fontId="7" fillId="0" borderId="52" xfId="0" applyFont="1" applyBorder="1" applyAlignment="1">
      <alignment horizontal="center"/>
    </xf>
    <xf numFmtId="0" fontId="6" fillId="0" borderId="15" xfId="0" applyFont="1" applyBorder="1" applyAlignment="1">
      <alignment horizontal="center"/>
    </xf>
    <xf numFmtId="0" fontId="1" fillId="0" borderId="8" xfId="0" applyFont="1" applyBorder="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2575560</xdr:colOff>
      <xdr:row>0</xdr:row>
      <xdr:rowOff>83820</xdr:rowOff>
    </xdr:from>
    <xdr:to>
      <xdr:col>8</xdr:col>
      <xdr:colOff>3191256</xdr:colOff>
      <xdr:row>1</xdr:row>
      <xdr:rowOff>201010</xdr:rowOff>
    </xdr:to>
    <xdr:pic>
      <xdr:nvPicPr>
        <xdr:cNvPr id="3" name="Picture 2">
          <a:extLst>
            <a:ext uri="{FF2B5EF4-FFF2-40B4-BE49-F238E27FC236}">
              <a16:creationId xmlns:a16="http://schemas.microsoft.com/office/drawing/2014/main" id="{15D64AE2-2605-47CB-92B4-E63731B867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89920" y="83820"/>
          <a:ext cx="615696" cy="46771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I38"/>
  <sheetViews>
    <sheetView showGridLines="0" tabSelected="1" view="pageBreakPreview" zoomScaleNormal="100" zoomScaleSheetLayoutView="100" workbookViewId="0">
      <selection activeCell="K17" sqref="K17"/>
    </sheetView>
  </sheetViews>
  <sheetFormatPr defaultColWidth="9.109375" defaultRowHeight="13.2" x14ac:dyDescent="0.25"/>
  <cols>
    <col min="1" max="1" width="1.6640625" style="1" customWidth="1"/>
    <col min="2" max="2" width="35" style="1" customWidth="1"/>
    <col min="3" max="4" width="16.88671875" style="1" customWidth="1"/>
    <col min="5" max="8" width="12.33203125" style="1" customWidth="1"/>
    <col min="9" max="9" width="48.88671875" style="1" customWidth="1"/>
    <col min="10" max="10" width="2.6640625" style="1" customWidth="1"/>
    <col min="11" max="17" width="9.109375" style="1"/>
    <col min="18" max="18" width="6.33203125" style="1" customWidth="1"/>
    <col min="19" max="19" width="18" style="1" customWidth="1"/>
    <col min="20" max="20" width="7.109375" style="1" customWidth="1"/>
    <col min="21" max="16384" width="9.109375" style="1"/>
  </cols>
  <sheetData>
    <row r="1" spans="1:9" ht="27.6" customHeight="1" x14ac:dyDescent="0.25"/>
    <row r="2" spans="1:9" ht="18.600000000000001" thickBot="1" x14ac:dyDescent="0.4">
      <c r="B2" s="2" t="s">
        <v>0</v>
      </c>
      <c r="C2" s="2"/>
      <c r="D2" s="2"/>
      <c r="E2" s="3"/>
      <c r="F2" s="3"/>
      <c r="G2" s="3"/>
      <c r="H2" s="3"/>
      <c r="I2" s="4"/>
    </row>
    <row r="3" spans="1:9" ht="6" customHeight="1" thickBot="1" x14ac:dyDescent="0.4">
      <c r="B3" s="5"/>
      <c r="C3" s="5"/>
      <c r="D3" s="5"/>
    </row>
    <row r="4" spans="1:9" s="7" customFormat="1" x14ac:dyDescent="0.25">
      <c r="B4" s="8"/>
      <c r="C4" s="8"/>
      <c r="D4" s="8"/>
      <c r="E4" s="9" t="s">
        <v>1</v>
      </c>
      <c r="F4" s="10" t="s">
        <v>2</v>
      </c>
      <c r="G4" s="81" t="s">
        <v>3</v>
      </c>
      <c r="H4" s="82"/>
      <c r="I4" s="11"/>
    </row>
    <row r="5" spans="1:9" s="7" customFormat="1" ht="16.5" customHeight="1" thickBot="1" x14ac:dyDescent="0.35">
      <c r="B5" s="8"/>
      <c r="C5" s="8"/>
      <c r="D5" s="8"/>
      <c r="E5" s="12" t="s">
        <v>4</v>
      </c>
      <c r="F5" s="13"/>
      <c r="G5" s="14" t="s">
        <v>5</v>
      </c>
      <c r="H5" s="15" t="s">
        <v>6</v>
      </c>
      <c r="I5" s="16"/>
    </row>
    <row r="6" spans="1:9" s="7" customFormat="1" ht="6" customHeight="1" thickBot="1" x14ac:dyDescent="0.3">
      <c r="I6" s="17"/>
    </row>
    <row r="7" spans="1:9" s="7" customFormat="1" ht="13.8" x14ac:dyDescent="0.25">
      <c r="A7" s="18"/>
      <c r="B7" s="19" t="s">
        <v>21</v>
      </c>
      <c r="C7" s="19"/>
      <c r="D7" s="19"/>
      <c r="E7" s="20">
        <f>+E37</f>
        <v>142709.69</v>
      </c>
      <c r="F7" s="21">
        <f>+F37</f>
        <v>142709.69</v>
      </c>
      <c r="G7" s="22">
        <f>+G37</f>
        <v>0</v>
      </c>
      <c r="H7" s="23">
        <f>+H37</f>
        <v>142709.69</v>
      </c>
      <c r="I7" s="8" t="s">
        <v>7</v>
      </c>
    </row>
    <row r="8" spans="1:9" s="7" customFormat="1" ht="13.8" thickBot="1" x14ac:dyDescent="0.3">
      <c r="B8" s="24" t="s">
        <v>8</v>
      </c>
      <c r="C8" s="25"/>
      <c r="D8" s="25"/>
      <c r="E8" s="26">
        <v>934348</v>
      </c>
      <c r="F8" s="27">
        <v>48609943</v>
      </c>
      <c r="G8" s="28">
        <v>44095154</v>
      </c>
      <c r="H8" s="29">
        <v>4514789</v>
      </c>
      <c r="I8" s="30">
        <v>43830</v>
      </c>
    </row>
    <row r="9" spans="1:9" s="7" customFormat="1" ht="14.4" thickBot="1" x14ac:dyDescent="0.3">
      <c r="B9" s="31" t="s">
        <v>9</v>
      </c>
      <c r="C9" s="19"/>
      <c r="D9" s="19"/>
      <c r="E9" s="32">
        <f>IF(E8=0,0,E37/E8)</f>
        <v>0.15273719213826112</v>
      </c>
      <c r="F9" s="33">
        <f>IF(F8=0,0,F37/F8)</f>
        <v>2.9358127410270777E-3</v>
      </c>
      <c r="G9" s="34">
        <f>IF(G8=0,0,G37/G8)</f>
        <v>0</v>
      </c>
      <c r="H9" s="35">
        <f>IF(H8=0,0,H37/H8)</f>
        <v>3.1609381966687701E-2</v>
      </c>
    </row>
    <row r="10" spans="1:9" s="7" customFormat="1" ht="6.75" customHeight="1" x14ac:dyDescent="0.25">
      <c r="B10" s="36"/>
      <c r="C10" s="37"/>
      <c r="D10" s="37"/>
      <c r="E10" s="38"/>
      <c r="F10" s="38"/>
      <c r="G10" s="38"/>
      <c r="H10" s="38"/>
    </row>
    <row r="11" spans="1:9" s="7" customFormat="1" ht="5.25" customHeight="1" x14ac:dyDescent="0.25">
      <c r="B11" s="39"/>
      <c r="C11" s="39"/>
      <c r="D11" s="39"/>
      <c r="E11" s="40"/>
      <c r="F11" s="40"/>
      <c r="G11" s="40"/>
      <c r="H11" s="40"/>
      <c r="I11" s="41"/>
    </row>
    <row r="12" spans="1:9" s="7" customFormat="1" ht="6" customHeight="1" x14ac:dyDescent="0.25">
      <c r="I12" s="42"/>
    </row>
    <row r="13" spans="1:9" s="7" customFormat="1" x14ac:dyDescent="0.25">
      <c r="B13" s="43" t="s">
        <v>10</v>
      </c>
      <c r="C13" s="85" t="s">
        <v>11</v>
      </c>
      <c r="D13" s="86"/>
      <c r="E13" s="44" t="s">
        <v>1</v>
      </c>
      <c r="F13" s="45" t="s">
        <v>2</v>
      </c>
      <c r="G13" s="83" t="s">
        <v>3</v>
      </c>
      <c r="H13" s="84"/>
      <c r="I13" s="46" t="s">
        <v>12</v>
      </c>
    </row>
    <row r="14" spans="1:9" s="7" customFormat="1" x14ac:dyDescent="0.25">
      <c r="B14" s="47"/>
      <c r="C14" s="47" t="s">
        <v>13</v>
      </c>
      <c r="D14" s="47" t="s">
        <v>14</v>
      </c>
      <c r="E14" s="48" t="s">
        <v>4</v>
      </c>
      <c r="F14" s="49"/>
      <c r="G14" s="50" t="s">
        <v>5</v>
      </c>
      <c r="H14" s="51" t="s">
        <v>6</v>
      </c>
      <c r="I14" s="52"/>
    </row>
    <row r="15" spans="1:9" s="7" customFormat="1" ht="6" customHeight="1" x14ac:dyDescent="0.25"/>
    <row r="16" spans="1:9" s="7" customFormat="1" x14ac:dyDescent="0.25">
      <c r="B16" s="53"/>
      <c r="C16" s="54"/>
      <c r="D16" s="55"/>
      <c r="E16" s="56"/>
      <c r="F16" s="57"/>
      <c r="G16" s="58"/>
      <c r="H16" s="59"/>
      <c r="I16" s="60"/>
    </row>
    <row r="17" spans="2:9" s="7" customFormat="1" x14ac:dyDescent="0.25">
      <c r="B17" s="61" t="s">
        <v>15</v>
      </c>
      <c r="C17" s="62"/>
      <c r="D17" s="63"/>
      <c r="E17" s="64"/>
      <c r="F17" s="65"/>
      <c r="G17" s="62"/>
      <c r="H17" s="66"/>
      <c r="I17" s="67"/>
    </row>
    <row r="18" spans="2:9" s="7" customFormat="1" ht="173.4" x14ac:dyDescent="0.25">
      <c r="B18" s="68" t="s">
        <v>16</v>
      </c>
      <c r="C18" s="62" t="s">
        <v>17</v>
      </c>
      <c r="D18" s="63" t="s">
        <v>18</v>
      </c>
      <c r="E18" s="64">
        <v>142709.69</v>
      </c>
      <c r="F18" s="64">
        <v>142709.69</v>
      </c>
      <c r="G18" s="62"/>
      <c r="H18" s="66">
        <v>142709.69</v>
      </c>
      <c r="I18" s="67" t="s">
        <v>19</v>
      </c>
    </row>
    <row r="19" spans="2:9" s="7" customFormat="1" x14ac:dyDescent="0.25">
      <c r="B19" s="68"/>
      <c r="C19" s="62"/>
      <c r="D19" s="63"/>
      <c r="E19" s="64"/>
      <c r="F19" s="65"/>
      <c r="G19" s="62"/>
      <c r="H19" s="66"/>
      <c r="I19" s="67"/>
    </row>
    <row r="20" spans="2:9" s="7" customFormat="1" x14ac:dyDescent="0.25">
      <c r="B20" s="68"/>
      <c r="C20" s="62"/>
      <c r="D20" s="63"/>
      <c r="E20" s="64"/>
      <c r="F20" s="65"/>
      <c r="G20" s="62"/>
      <c r="H20" s="66"/>
      <c r="I20" s="67"/>
    </row>
    <row r="21" spans="2:9" s="7" customFormat="1" x14ac:dyDescent="0.25">
      <c r="B21" s="68"/>
      <c r="C21" s="62"/>
      <c r="D21" s="63"/>
      <c r="E21" s="64"/>
      <c r="F21" s="65"/>
      <c r="G21" s="62"/>
      <c r="H21" s="66"/>
      <c r="I21" s="67"/>
    </row>
    <row r="22" spans="2:9" s="7" customFormat="1" x14ac:dyDescent="0.25">
      <c r="B22" s="68"/>
      <c r="C22" s="62"/>
      <c r="D22" s="63"/>
      <c r="E22" s="64"/>
      <c r="F22" s="65"/>
      <c r="G22" s="62"/>
      <c r="H22" s="66"/>
      <c r="I22" s="67"/>
    </row>
    <row r="23" spans="2:9" s="7" customFormat="1" x14ac:dyDescent="0.25">
      <c r="B23" s="61"/>
      <c r="C23" s="62"/>
      <c r="D23" s="63"/>
      <c r="E23" s="64"/>
      <c r="F23" s="65"/>
      <c r="G23" s="62"/>
      <c r="H23" s="66"/>
      <c r="I23" s="67"/>
    </row>
    <row r="24" spans="2:9" s="7" customFormat="1" x14ac:dyDescent="0.25">
      <c r="B24" s="68"/>
      <c r="C24" s="62"/>
      <c r="D24" s="63"/>
      <c r="E24" s="64"/>
      <c r="F24" s="65"/>
      <c r="G24" s="62"/>
      <c r="H24" s="66"/>
      <c r="I24" s="67"/>
    </row>
    <row r="25" spans="2:9" s="7" customFormat="1" x14ac:dyDescent="0.25">
      <c r="B25" s="68"/>
      <c r="C25" s="62"/>
      <c r="D25" s="63"/>
      <c r="E25" s="64"/>
      <c r="F25" s="65"/>
      <c r="G25" s="62"/>
      <c r="H25" s="66"/>
      <c r="I25" s="67"/>
    </row>
    <row r="26" spans="2:9" s="7" customFormat="1" x14ac:dyDescent="0.25">
      <c r="B26" s="68"/>
      <c r="C26" s="62"/>
      <c r="D26" s="63"/>
      <c r="E26" s="64"/>
      <c r="F26" s="65"/>
      <c r="G26" s="62"/>
      <c r="H26" s="66"/>
      <c r="I26" s="67"/>
    </row>
    <row r="27" spans="2:9" s="7" customFormat="1" x14ac:dyDescent="0.25">
      <c r="B27" s="69"/>
      <c r="C27" s="62"/>
      <c r="D27" s="63"/>
      <c r="E27" s="64"/>
      <c r="F27" s="65"/>
      <c r="G27" s="62"/>
      <c r="H27" s="66"/>
      <c r="I27" s="67"/>
    </row>
    <row r="28" spans="2:9" s="7" customFormat="1" x14ac:dyDescent="0.25">
      <c r="B28" s="61"/>
      <c r="C28" s="62"/>
      <c r="D28" s="63"/>
      <c r="E28" s="64"/>
      <c r="F28" s="65"/>
      <c r="G28" s="62"/>
      <c r="H28" s="66"/>
      <c r="I28" s="67"/>
    </row>
    <row r="29" spans="2:9" s="7" customFormat="1" x14ac:dyDescent="0.25">
      <c r="B29" s="68"/>
      <c r="C29" s="62"/>
      <c r="D29" s="63"/>
      <c r="E29" s="64"/>
      <c r="F29" s="65"/>
      <c r="G29" s="62"/>
      <c r="H29" s="66"/>
      <c r="I29" s="67"/>
    </row>
    <row r="30" spans="2:9" s="7" customFormat="1" x14ac:dyDescent="0.25">
      <c r="B30" s="68"/>
      <c r="C30" s="62"/>
      <c r="D30" s="63"/>
      <c r="E30" s="64"/>
      <c r="F30" s="65"/>
      <c r="G30" s="62"/>
      <c r="H30" s="66"/>
      <c r="I30" s="67"/>
    </row>
    <row r="31" spans="2:9" s="7" customFormat="1" x14ac:dyDescent="0.25">
      <c r="B31" s="68"/>
      <c r="C31" s="62"/>
      <c r="D31" s="63"/>
      <c r="E31" s="64"/>
      <c r="F31" s="65"/>
      <c r="G31" s="62"/>
      <c r="H31" s="66"/>
      <c r="I31" s="67"/>
    </row>
    <row r="32" spans="2:9" s="7" customFormat="1" x14ac:dyDescent="0.25">
      <c r="B32" s="69"/>
      <c r="C32" s="62"/>
      <c r="D32" s="63"/>
      <c r="E32" s="64"/>
      <c r="F32" s="65"/>
      <c r="G32" s="62"/>
      <c r="H32" s="66"/>
      <c r="I32" s="67"/>
    </row>
    <row r="33" spans="2:9" s="7" customFormat="1" x14ac:dyDescent="0.25">
      <c r="B33" s="69"/>
      <c r="C33" s="62"/>
      <c r="D33" s="63"/>
      <c r="E33" s="64"/>
      <c r="F33" s="65"/>
      <c r="G33" s="62"/>
      <c r="H33" s="66"/>
      <c r="I33" s="67"/>
    </row>
    <row r="34" spans="2:9" s="7" customFormat="1" x14ac:dyDescent="0.25">
      <c r="B34" s="69"/>
      <c r="C34" s="62"/>
      <c r="D34" s="63"/>
      <c r="E34" s="64"/>
      <c r="F34" s="65"/>
      <c r="G34" s="62"/>
      <c r="H34" s="66"/>
      <c r="I34" s="67"/>
    </row>
    <row r="35" spans="2:9" s="7" customFormat="1" x14ac:dyDescent="0.25">
      <c r="B35" s="70"/>
      <c r="C35" s="71"/>
      <c r="D35" s="72"/>
      <c r="E35" s="73"/>
      <c r="F35" s="74"/>
      <c r="G35" s="71"/>
      <c r="H35" s="75"/>
      <c r="I35" s="76"/>
    </row>
    <row r="36" spans="2:9" s="7" customFormat="1" ht="4.5" customHeight="1" x14ac:dyDescent="0.25"/>
    <row r="37" spans="2:9" s="7" customFormat="1" ht="13.8" x14ac:dyDescent="0.25">
      <c r="B37" s="31" t="s">
        <v>20</v>
      </c>
      <c r="C37" s="19"/>
      <c r="D37" s="19"/>
      <c r="E37" s="77">
        <f>SUM(E16:E35)</f>
        <v>142709.69</v>
      </c>
      <c r="F37" s="78">
        <f>SUM(F16:F35)</f>
        <v>142709.69</v>
      </c>
      <c r="G37" s="79">
        <f>SUM(G16:G35)</f>
        <v>0</v>
      </c>
      <c r="H37" s="80">
        <f>SUM(H16:H35)</f>
        <v>142709.69</v>
      </c>
    </row>
    <row r="38" spans="2:9" x14ac:dyDescent="0.25">
      <c r="B38" s="6"/>
    </row>
  </sheetData>
  <sheetProtection formatCells="0" selectLockedCells="1"/>
  <mergeCells count="3">
    <mergeCell ref="G4:H4"/>
    <mergeCell ref="G13:H13"/>
    <mergeCell ref="C13:D13"/>
  </mergeCells>
  <phoneticPr fontId="0" type="noConversion"/>
  <pageMargins left="0.39370078740157483" right="0.27559055118110237" top="0.55118110236220474" bottom="0.59055118110236227" header="0.51181102362204722" footer="0.19685039370078741"/>
  <pageSetup paperSize="9" scale="83" orientation="landscape" r:id="rId1"/>
  <headerFooter alignWithMargins="0">
    <oddFooter>&amp;R&amp;"Georgia,Standard"Page 1 of 1</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New xmlns="32ea3ecd-1bdb-42e4-84af-6969fa3ff78b" xsi:nil="true"/>
    <MP_InheritedTags xmlns="1a52650a-0186-4e83-ad37-18f76fcfc025">((lw45)(lw40)(lw1))((lw470)(lw297)(lw251)(lw228)(lw209)(lw208)(lw52)(lw3))((lw260386)(lw260385)(lw127)(lw51)(lw3))((lw26)(lw6)(lw2))((lw15)(lw5)(lw2))((lw104)(lw10)(lw2))((lw36)(lw7)(lw2))((lw63)(lw39)(lw1))((lw354710)(lw70)(lw41)(lw1))</MP_InheritedTags>
    <LatestReviewRequestor xmlns="32ea3ecd-1bdb-42e4-84af-6969fa3ff78b">
      <UserInfo>
        <DisplayName/>
        <AccountId xsi:nil="true"/>
        <AccountType/>
      </UserInfo>
    </LatestReviewRequestor>
    <LikesCount xmlns="http://schemas.microsoft.com/sharepoint/v3" xsi:nil="true"/>
    <Reviewer xmlns="32ea3ecd-1bdb-42e4-84af-6969fa3ff78b">
      <UserInfo>
        <DisplayName/>
        <AccountId xsi:nil="true"/>
        <AccountType/>
      </UserInfo>
    </Reviewer>
    <ReviewRequestor xmlns="32ea3ecd-1bdb-42e4-84af-6969fa3ff78b">
      <UserInfo>
        <DisplayName/>
        <AccountId xsi:nil="true"/>
        <AccountType/>
      </UserInfo>
    </ReviewRequestor>
    <LatestReviewTimestamp xmlns="32ea3ecd-1bdb-42e4-84af-6969fa3ff78b" xsi:nil="true"/>
    <ApprovedVersion xmlns="32ea3ecd-1bdb-42e4-84af-6969fa3ff78b" xsi:nil="true"/>
    <Ratings xmlns="http://schemas.microsoft.com/sharepoint/v3" xsi:nil="true"/>
    <LatestReview xmlns="32ea3ecd-1bdb-42e4-84af-6969fa3ff78b" xsi:nil="true"/>
    <ApproveTimestamp xmlns="32ea3ecd-1bdb-42e4-84af-6969fa3ff78b" xsi:nil="true"/>
    <LatestApprovedVersion xmlns="32ea3ecd-1bdb-42e4-84af-6969fa3ff78b" xsi:nil="true"/>
    <Approver xmlns="32ea3ecd-1bdb-42e4-84af-6969fa3ff78b">
      <UserInfo>
        <DisplayName/>
        <AccountId xsi:nil="true"/>
        <AccountType/>
      </UserInfo>
    </Approver>
    <LikedBy xmlns="http://schemas.microsoft.com/sharepoint/v3">
      <UserInfo>
        <DisplayName/>
        <AccountId xsi:nil="true"/>
        <AccountType/>
      </UserInfo>
    </LikedBy>
    <LatestReviewer xmlns="32ea3ecd-1bdb-42e4-84af-6969fa3ff78b">
      <UserInfo>
        <DisplayName/>
        <AccountId xsi:nil="true"/>
        <AccountType/>
      </UserInfo>
    </LatestReviewer>
    <LatestReviewedVersion xmlns="32ea3ecd-1bdb-42e4-84af-6969fa3ff78b" xsi:nil="true"/>
    <MP_UserTags xmlns="1a52650a-0186-4e83-ad37-18f76fcfc025" xsi:nil="true"/>
    <ReviewComment xmlns="32ea3ecd-1bdb-42e4-84af-6969fa3ff78b" xsi:nil="true"/>
    <RatedBy xmlns="http://schemas.microsoft.com/sharepoint/v3">
      <UserInfo>
        <DisplayName/>
        <AccountId xsi:nil="true"/>
        <AccountType/>
      </UserInfo>
    </Rat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56234C4FAF3444BA45DD1AFF8BDF23E" ma:contentTypeVersion="21" ma:contentTypeDescription="Create a new document." ma:contentTypeScope="" ma:versionID="e8b3b1c1cab0a0597c0735decafc36ca">
  <xsd:schema xmlns:xsd="http://www.w3.org/2001/XMLSchema" xmlns:xs="http://www.w3.org/2001/XMLSchema" xmlns:p="http://schemas.microsoft.com/office/2006/metadata/properties" xmlns:ns1="http://schemas.microsoft.com/sharepoint/v3" xmlns:ns2="1a52650a-0186-4e83-ad37-18f76fcfc025" xmlns:ns3="32ea3ecd-1bdb-42e4-84af-6969fa3ff78b" targetNamespace="http://schemas.microsoft.com/office/2006/metadata/properties" ma:root="true" ma:fieldsID="f6863086f5bf97e94b777714a3fb07e2" ns1:_="" ns2:_="" ns3:_="">
    <xsd:import namespace="http://schemas.microsoft.com/sharepoint/v3"/>
    <xsd:import namespace="1a52650a-0186-4e83-ad37-18f76fcfc025"/>
    <xsd:import namespace="32ea3ecd-1bdb-42e4-84af-6969fa3ff78b"/>
    <xsd:element name="properties">
      <xsd:complexType>
        <xsd:sequence>
          <xsd:element name="documentManagement">
            <xsd:complexType>
              <xsd:all>
                <xsd:element ref="ns2:MP_UserTags" minOccurs="0"/>
                <xsd:element ref="ns2:MP_InheritedTags" minOccurs="0"/>
                <xsd:element ref="ns1:AverageRating" minOccurs="0"/>
                <xsd:element ref="ns1:RatingCount" minOccurs="0"/>
                <xsd:element ref="ns1:RatedBy" minOccurs="0"/>
                <xsd:element ref="ns1:Ratings" minOccurs="0"/>
                <xsd:element ref="ns1:LikesCount" minOccurs="0"/>
                <xsd:element ref="ns1:LikedBy" minOccurs="0"/>
                <xsd:element ref="ns3:Reviewer" minOccurs="0"/>
                <xsd:element ref="ns3:LatestApprovedVersion" minOccurs="0"/>
                <xsd:element ref="ns3:LatestReviewRequestor" minOccurs="0"/>
                <xsd:element ref="ns3:LatestReviewer" minOccurs="0"/>
                <xsd:element ref="ns3:ReviewComment" minOccurs="0"/>
                <xsd:element ref="ns3:ReviewRequestor" minOccurs="0"/>
                <xsd:element ref="ns3:LatestReview" minOccurs="0"/>
                <xsd:element ref="ns3:Approver" minOccurs="0"/>
                <xsd:element ref="ns3:ApproveTimestamp" minOccurs="0"/>
                <xsd:element ref="ns3:ApprovedVersion" minOccurs="0"/>
                <xsd:element ref="ns3:LatestReviewedVersion" minOccurs="0"/>
                <xsd:element ref="ns3:ReviewStatusNew" minOccurs="0"/>
                <xsd:element ref="ns3:LatestReviewTimestam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0" nillable="true" ma:displayName="Rating (0-5)" ma:decimals="2" ma:description="Average value of all the ratings that have been submitted" ma:internalName="AverageRating" ma:readOnly="true">
      <xsd:simpleType>
        <xsd:restriction base="dms:Number"/>
      </xsd:simpleType>
    </xsd:element>
    <xsd:element name="RatingCount" ma:index="11" nillable="true" ma:displayName="Number of Ratings" ma:decimals="0" ma:description="Number of ratings submitted" ma:internalName="RatingCount" ma:readOnly="true">
      <xsd:simpleType>
        <xsd:restriction base="dms:Number"/>
      </xsd:simpleType>
    </xsd:element>
    <xsd:element name="RatedBy" ma:index="12"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3" nillable="true" ma:displayName="User ratings" ma:description="User ratings for the item" ma:hidden="true" ma:internalName="Ratings">
      <xsd:simpleType>
        <xsd:restriction base="dms:Note"/>
      </xsd:simpleType>
    </xsd:element>
    <xsd:element name="LikesCount" ma:index="14" nillable="true" ma:displayName="Number of Likes" ma:internalName="LikesCount">
      <xsd:simpleType>
        <xsd:restriction base="dms:Unknown"/>
      </xsd:simpleType>
    </xsd:element>
    <xsd:element name="LikedBy" ma:index="15"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a52650a-0186-4e83-ad37-18f76fcfc025" elementFormDefault="qualified">
    <xsd:import namespace="http://schemas.microsoft.com/office/2006/documentManagement/types"/>
    <xsd:import namespace="http://schemas.microsoft.com/office/infopath/2007/PartnerControls"/>
    <xsd:element name="MP_UserTags" ma:index="8" nillable="true" ma:displayName="Tags" ma:hidden="true" ma:internalName="MP_UserTags" ma:readOnly="false">
      <xsd:simpleType>
        <xsd:restriction base="dms:Unknown"/>
      </xsd:simpleType>
    </xsd:element>
    <xsd:element name="MP_InheritedTags" ma:index="9" nillable="true" ma:displayName="Inherited Tags" ma:hidden="true" ma:internalName="MP_InheritedTags"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ea3ecd-1bdb-42e4-84af-6969fa3ff78b" elementFormDefault="qualified">
    <xsd:import namespace="http://schemas.microsoft.com/office/2006/documentManagement/types"/>
    <xsd:import namespace="http://schemas.microsoft.com/office/infopath/2007/PartnerControls"/>
    <xsd:element name="Reviewer" ma:index="16" nillable="true" ma:displayName="Reviewer" ma:default="" ma:list="UserInfo" ma:internalName="Review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testApprovedVersion" ma:index="17" nillable="true" ma:displayName="Latest Approved Version" ma:default="" ma:internalName="LatestApprovedVersion">
      <xsd:simpleType>
        <xsd:restriction base="dms:Text"/>
      </xsd:simpleType>
    </xsd:element>
    <xsd:element name="LatestReviewRequestor" ma:index="18" nillable="true" ma:displayName="Latest Review Requestor" ma:default="" ma:list="UserInfo" ma:internalName="LatestReviewReques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testReviewer" ma:index="19" nillable="true" ma:displayName="Latest Reviewer" ma:default="" ma:list="UserInfo" ma:internalName="LatestReview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Comment" ma:index="20" nillable="true" ma:displayName="Review Comment" ma:default="" ma:internalName="ReviewComment">
      <xsd:simpleType>
        <xsd:restriction base="dms:Text"/>
      </xsd:simpleType>
    </xsd:element>
    <xsd:element name="ReviewRequestor" ma:index="21" nillable="true" ma:displayName="Review Requestor" ma:default="" ma:list="UserInfo" ma:internalName="ReviewReques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testReview" ma:index="22" nillable="true" ma:displayName="Latest Review" ma:default="" ma:internalName="LatestReview">
      <xsd:simpleType>
        <xsd:restriction base="dms:Text"/>
      </xsd:simpleType>
    </xsd:element>
    <xsd:element name="Approver" ma:index="23" nillable="true" ma:displayName="Approver" ma:default="" ma:list="UserInfo" ma:internalNam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Timestamp" ma:index="24" nillable="true" ma:displayName="Approved" ma:default="" ma:internalName="ApproveTimestamp">
      <xsd:simpleType>
        <xsd:restriction base="dms:DateTime"/>
      </xsd:simpleType>
    </xsd:element>
    <xsd:element name="ApprovedVersion" ma:index="25" nillable="true" ma:displayName="Approved Version" ma:default="" ma:internalName="ApprovedVersion">
      <xsd:simpleType>
        <xsd:restriction base="dms:Text"/>
      </xsd:simpleType>
    </xsd:element>
    <xsd:element name="LatestReviewedVersion" ma:index="26" nillable="true" ma:displayName="LatestReviewedVersion" ma:default="" ma:internalName="LatestReviewedVersion">
      <xsd:simpleType>
        <xsd:restriction base="dms:Text"/>
      </xsd:simpleType>
    </xsd:element>
    <xsd:element name="ReviewStatusNew" ma:index="27" nillable="true" ma:displayName="Review Status" ma:default="" ma:internalName="ReviewStatusNew">
      <xsd:simpleType>
        <xsd:restriction base="dms:Text"/>
      </xsd:simpleType>
    </xsd:element>
    <xsd:element name="LatestReviewTimestamp" ma:index="28" nillable="true" ma:displayName="Latest Review Timestamp" ma:default="" ma:internalName="LatestReviewTimestamp">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9B7849-66EB-478C-86F1-3869F17AD1F3}">
  <ds:schemaRefs>
    <ds:schemaRef ds:uri="http://purl.org/dc/elements/1.1/"/>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purl.org/dc/dcmitype/"/>
    <ds:schemaRef ds:uri="32ea3ecd-1bdb-42e4-84af-6969fa3ff78b"/>
    <ds:schemaRef ds:uri="http://schemas.openxmlformats.org/package/2006/metadata/core-properties"/>
    <ds:schemaRef ds:uri="1a52650a-0186-4e83-ad37-18f76fcfc025"/>
    <ds:schemaRef ds:uri="http://schemas.microsoft.com/sharepoint/v3"/>
    <ds:schemaRef ds:uri="http://purl.org/dc/terms/"/>
  </ds:schemaRefs>
</ds:datastoreItem>
</file>

<file path=customXml/itemProps2.xml><?xml version="1.0" encoding="utf-8"?>
<ds:datastoreItem xmlns:ds="http://schemas.openxmlformats.org/officeDocument/2006/customXml" ds:itemID="{7C40E945-1515-4979-8CE9-DE8212EBFA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52650a-0186-4e83-ad37-18f76fcfc025"/>
    <ds:schemaRef ds:uri="32ea3ecd-1bdb-42e4-84af-6969fa3ff7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771801-829E-429B-BCFC-6F2A7EB984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Required documentation</vt:lpstr>
      <vt:lpstr>'Required documentation'!Print_Titles</vt:lpstr>
    </vt:vector>
  </TitlesOfParts>
  <Company>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RMW</dc:creator>
  <cp:lastModifiedBy>Shaghayegh Haghbin [sdwh6702]</cp:lastModifiedBy>
  <cp:lastPrinted>2012-09-25T05:50:40Z</cp:lastPrinted>
  <dcterms:created xsi:type="dcterms:W3CDTF">2005-04-05T12:19:47Z</dcterms:created>
  <dcterms:modified xsi:type="dcterms:W3CDTF">2025-05-03T10:29:43Z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0x010100756234C4FAF3444BA45DD1AFF8BDF23E</vt:lpwstr>
  </property>
</Properties>
</file>